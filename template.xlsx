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ylik hisobot" sheetId="1" state="visible" r:id="rId3"/>
  </sheets>
  <definedNames>
    <definedName function="false" hidden="false" localSheetId="0" name="_xlnm.Print_Area" vbProcedure="false">'Oylik hisobot'!$A$1:$P$113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<sst xmlns="http://schemas.openxmlformats.org/spreadsheetml/2006/main" count="206" uniqueCount="173">
  <si>
    <t xml:space="preserve">RECRUITING BO'YICHA OYLIK HISOBOT</t>
  </si>
  <si>
    <t xml:space="preserve">Akela Group | HR bo'limi | Recruiting menejerining oylik hisoboti</t>
  </si>
  <si>
    <t xml:space="preserve">Ko'k rangdagi katakchalar — qo'lda to'ldiriladi (hozirgi qiymatlar NAMUNA, o'zingiznikiga almashtiring). Qora rangdagilar — formulalar, o'zi hisoblanadi.</t>
  </si>
  <si>
    <t xml:space="preserve">OCHIQ VAKANSIYALAR</t>
  </si>
  <si>
    <t xml:space="preserve">YOPILGAN</t>
  </si>
  <si>
    <t xml:space="preserve">KELGAN NOMZOD</t>
  </si>
  <si>
    <t xml:space="preserve">TAKLIF BERILGAN</t>
  </si>
  <si>
    <t xml:space="preserve">ISHGA QABUL</t>
  </si>
  <si>
    <t xml:space="preserve">TIME-TO-FILL</t>
  </si>
  <si>
    <t xml:space="preserve">oy oxirida</t>
  </si>
  <si>
    <t xml:space="preserve">vakansiya</t>
  </si>
  <si>
    <t xml:space="preserve">oy davomida</t>
  </si>
  <si>
    <t xml:space="preserve">nomzodga</t>
  </si>
  <si>
    <t xml:space="preserve">xodim</t>
  </si>
  <si>
    <t xml:space="preserve">kun (o'rtacha)</t>
  </si>
  <si>
    <t xml:space="preserve">1. Umumiy ma'lumot</t>
  </si>
  <si>
    <t xml:space="preserve">Davr boshi</t>
  </si>
  <si>
    <t xml:space="preserve">Oyning qisqacha xulosasi (1–2 gap): nechta vakansiya yopildi, asosiy muammo nima. Masalan: sentyabrda 6 ta vakansiya yopildi, 3 tasi ochiq qoldi; asosiy muammo — muhandis-elektrik lavozimiga malakali nomzod yetishmasligi.</t>
  </si>
  <si>
    <t xml:space="preserve">Davr oxiri (hisobot sanasi)</t>
  </si>
  <si>
    <t xml:space="preserve">Tayyorladi</t>
  </si>
  <si>
    <t xml:space="preserve">Recruiting menejer (F.I.Sh.)</t>
  </si>
  <si>
    <t xml:space="preserve">Hisobot sanasi</t>
  </si>
  <si>
    <t xml:space="preserve">2. Vakansiyalar holati</t>
  </si>
  <si>
    <t xml:space="preserve">Lavozim</t>
  </si>
  <si>
    <t xml:space="preserve">Bo'lim</t>
  </si>
  <si>
    <t xml:space="preserve">Buyurtmachi</t>
  </si>
  <si>
    <t xml:space="preserve">Ochilgan sana</t>
  </si>
  <si>
    <t xml:space="preserve">Joriy bosqich</t>
  </si>
  <si>
    <t xml:space="preserve">Ochiq kunlar</t>
  </si>
  <si>
    <t xml:space="preserve">Ustuvorlik</t>
  </si>
  <si>
    <t xml:space="preserve">Izoh (kechikish sababi)</t>
  </si>
  <si>
    <t xml:space="preserve">Mahsulot sotuv menejeri</t>
  </si>
  <si>
    <t xml:space="preserve">Sotuv</t>
  </si>
  <si>
    <t xml:space="preserve">Bo'lim boshlig'i 1</t>
  </si>
  <si>
    <t xml:space="preserve">Suhbat</t>
  </si>
  <si>
    <t xml:space="preserve">Yuqori</t>
  </si>
  <si>
    <t xml:space="preserve">Maosh kutilmasi bozordan yuqori</t>
  </si>
  <si>
    <t xml:space="preserve">Muhandis-elektrik</t>
  </si>
  <si>
    <t xml:space="preserve">Ishlab chiqarish</t>
  </si>
  <si>
    <t xml:space="preserve">Bo'lim boshlig'i 2</t>
  </si>
  <si>
    <t xml:space="preserve">5 kunlik sinov</t>
  </si>
  <si>
    <t xml:space="preserve">Sinov natijasi kutilmoqda</t>
  </si>
  <si>
    <t xml:space="preserve">Buxgalter</t>
  </si>
  <si>
    <t xml:space="preserve">Moliya</t>
  </si>
  <si>
    <t xml:space="preserve">Bo'lim boshlig'i 3</t>
  </si>
  <si>
    <t xml:space="preserve">Taklif</t>
  </si>
  <si>
    <t xml:space="preserve">O'rta</t>
  </si>
  <si>
    <t xml:space="preserve">Nomzod javobini kutmoqda</t>
  </si>
  <si>
    <t xml:space="preserve">Ofis menejeri</t>
  </si>
  <si>
    <t xml:space="preserve">Ma'muriy</t>
  </si>
  <si>
    <t xml:space="preserve">Bo'lim boshlig'i 4</t>
  </si>
  <si>
    <t xml:space="preserve">Skrining</t>
  </si>
  <si>
    <t xml:space="preserve">Logist</t>
  </si>
  <si>
    <t xml:space="preserve">Ta'minot</t>
  </si>
  <si>
    <t xml:space="preserve">Bo'lim boshlig'i 5</t>
  </si>
  <si>
    <t xml:space="preserve">Yopilgan</t>
  </si>
  <si>
    <t xml:space="preserve">Yopildi, ishga chiqdi</t>
  </si>
  <si>
    <t xml:space="preserve">Yurist</t>
  </si>
  <si>
    <t xml:space="preserve">Yuridik</t>
  </si>
  <si>
    <t xml:space="preserve">Bo'lim boshlig'i 6</t>
  </si>
  <si>
    <t xml:space="preserve">E'lon</t>
  </si>
  <si>
    <t xml:space="preserve">Past</t>
  </si>
  <si>
    <t xml:space="preserve">Buyurtmachi tasdig'i kechikdi</t>
  </si>
  <si>
    <t xml:space="preserve">IT mutaxassisi</t>
  </si>
  <si>
    <t xml:space="preserve">IT</t>
  </si>
  <si>
    <t xml:space="preserve">Bo'lim boshlig'i 7</t>
  </si>
  <si>
    <t xml:space="preserve">Nomzod yetishmayapti</t>
  </si>
  <si>
    <t xml:space="preserve">Haydovchi</t>
  </si>
  <si>
    <t xml:space="preserve">Yopildi</t>
  </si>
  <si>
    <t xml:space="preserve">Ochiq kunlar 30 dan oshsa qizil bo'ladi. «Yopilgan» bosqichda kunlar hisoblanmaydi.</t>
  </si>
  <si>
    <t xml:space="preserve">3. Asosiy ko'rsatkichlar (KPI)</t>
  </si>
  <si>
    <t xml:space="preserve">Ko'rsatkich</t>
  </si>
  <si>
    <t xml:space="preserve">Joriy oy</t>
  </si>
  <si>
    <t xml:space="preserve">O'tgan oy</t>
  </si>
  <si>
    <t xml:space="preserve">O'zgarish</t>
  </si>
  <si>
    <t xml:space="preserve">Izoh</t>
  </si>
  <si>
    <t xml:space="preserve">Bosqich</t>
  </si>
  <si>
    <t xml:space="preserve">Vakansiya soni</t>
  </si>
  <si>
    <t xml:space="preserve">Oy boshida ochiq vakansiyalar</t>
  </si>
  <si>
    <t xml:space="preserve">Yangi ochilgan vakansiyalar</t>
  </si>
  <si>
    <t xml:space="preserve">Yopilgan vakansiyalar</t>
  </si>
  <si>
    <t xml:space="preserve">Oy oxirida qolgan ochiq vakansiyalar</t>
  </si>
  <si>
    <t xml:space="preserve">Kelib tushgan nomzodlar</t>
  </si>
  <si>
    <t xml:space="preserve">Skriningdan o'tgan</t>
  </si>
  <si>
    <t xml:space="preserve">Suhbatga chiqqan</t>
  </si>
  <si>
    <t xml:space="preserve">Taklif berilgan</t>
  </si>
  <si>
    <t xml:space="preserve">Ishga qabul qilingan</t>
  </si>
  <si>
    <t xml:space="preserve">Time-to-fill (o'rtacha kun)</t>
  </si>
  <si>
    <t xml:space="preserve">Time-to-hire (o'rtacha kun)</t>
  </si>
  <si>
    <t xml:space="preserve">Taklifni qabul qilish foizi</t>
  </si>
  <si>
    <t xml:space="preserve">Bir nomzodga o'rtacha xarajat (so'm)</t>
  </si>
  <si>
    <t xml:space="preserve">Time-to-fill: vakansiya ochilganidan yopilgunigacha; Time-to-hire: nomzod birinchi aloqasidan ishga qabulgacha. Kamayishi — yaxshi.</t>
  </si>
  <si>
    <t xml:space="preserve">4. Manbalar bo'yicha tahlil</t>
  </si>
  <si>
    <t xml:space="preserve">Manba</t>
  </si>
  <si>
    <t xml:space="preserve">Kelgan nomzod</t>
  </si>
  <si>
    <t xml:space="preserve">Qabul qilingan</t>
  </si>
  <si>
    <t xml:space="preserve">Xarajat (so'm)</t>
  </si>
  <si>
    <t xml:space="preserve">Qabul/Kelgan %</t>
  </si>
  <si>
    <t xml:space="preserve">hh.uz</t>
  </si>
  <si>
    <t xml:space="preserve">OLX</t>
  </si>
  <si>
    <t xml:space="preserve">Telegram kanallari</t>
  </si>
  <si>
    <t xml:space="preserve">Tavsiya (referral)</t>
  </si>
  <si>
    <t xml:space="preserve">LinkedIn</t>
  </si>
  <si>
    <t xml:space="preserve">O'zi murojaat qilgan</t>
  </si>
  <si>
    <t xml:space="preserve">JAMI</t>
  </si>
  <si>
    <t xml:space="preserve">Eng samarali manba (qabul/kelgan, kamida 1 qabul):</t>
  </si>
  <si>
    <t xml:space="preserve">5. Voronka (funnel) tahlili</t>
  </si>
  <si>
    <t xml:space="preserve">Soni</t>
  </si>
  <si>
    <t xml:space="preserve">Oldingi bosqichdan %</t>
  </si>
  <si>
    <t xml:space="preserve">Umumiy %</t>
  </si>
  <si>
    <t xml:space="preserve">Kelib tushgan ariza</t>
  </si>
  <si>
    <t xml:space="preserve">Eng ko'p yo'qotish bosqichi:</t>
  </si>
  <si>
    <t xml:space="preserve">6. Yangi xodimlar va ishdan ketganlar</t>
  </si>
  <si>
    <t xml:space="preserve">Yangi xodim (F.I.Sh.)</t>
  </si>
  <si>
    <t xml:space="preserve">Ishga chiqqan sana</t>
  </si>
  <si>
    <t xml:space="preserve">Kadrlar qo'nimsizligi (turnover)</t>
  </si>
  <si>
    <t xml:space="preserve">Namuna F.I.Sh. 1</t>
  </si>
  <si>
    <t xml:space="preserve">Yangi qabul qilinganlar</t>
  </si>
  <si>
    <t xml:space="preserve">Namuna F.I.Sh. 2</t>
  </si>
  <si>
    <t xml:space="preserve">Tavsiya</t>
  </si>
  <si>
    <t xml:space="preserve">Sinovda ketganlar</t>
  </si>
  <si>
    <t xml:space="preserve">Namuna F.I.Sh. 3</t>
  </si>
  <si>
    <t xml:space="preserve">Telegram</t>
  </si>
  <si>
    <t xml:space="preserve">Sinovda ketish foizi</t>
  </si>
  <si>
    <t xml:space="preserve">Turnover bo'yicha qisqa izoh yozing (sabablar, takrorlanuvchi muammolar).</t>
  </si>
  <si>
    <t xml:space="preserve">Ketgan xodim (sinov muddatida)</t>
  </si>
  <si>
    <t xml:space="preserve">Ketgan sana</t>
  </si>
  <si>
    <t xml:space="preserve">Sabab</t>
  </si>
  <si>
    <t xml:space="preserve">Namuna F.I.Sh. 4</t>
  </si>
  <si>
    <t xml:space="preserve">Mos kelmadi / o'zi ketdi</t>
  </si>
  <si>
    <t xml:space="preserve">7. Xarajatlar</t>
  </si>
  <si>
    <t xml:space="preserve">Xarajat turi</t>
  </si>
  <si>
    <t xml:space="preserve">Reja (so'm)</t>
  </si>
  <si>
    <t xml:space="preserve">Fakt (so'm)</t>
  </si>
  <si>
    <t xml:space="preserve">Farq (so'm)</t>
  </si>
  <si>
    <t xml:space="preserve">Bajarilish %</t>
  </si>
  <si>
    <t xml:space="preserve">E'lonlar (hh.uz, OLX)</t>
  </si>
  <si>
    <t xml:space="preserve">Telegram reklama</t>
  </si>
  <si>
    <t xml:space="preserve">Agentlik xizmatlari</t>
  </si>
  <si>
    <t xml:space="preserve">Test va baholash</t>
  </si>
  <si>
    <t xml:space="preserve">Boshqa sarflar</t>
  </si>
  <si>
    <t xml:space="preserve">8. Muammolar va xavflar</t>
  </si>
  <si>
    <t xml:space="preserve">Muammo</t>
  </si>
  <si>
    <t xml:space="preserve">Ta'siri</t>
  </si>
  <si>
    <t xml:space="preserve">Chora / yechim</t>
  </si>
  <si>
    <t xml:space="preserve">Mas'ul</t>
  </si>
  <si>
    <t xml:space="preserve">Muddat</t>
  </si>
  <si>
    <t xml:space="preserve">Maosh kutilmalari bozordan yuqori</t>
  </si>
  <si>
    <t xml:space="preserve">Sotuv bo'yicha taklifni rad etish ko'paydi</t>
  </si>
  <si>
    <t xml:space="preserve">Maosh vilkasini qayta ko'rib chiqish</t>
  </si>
  <si>
    <t xml:space="preserve">HR / Direktor</t>
  </si>
  <si>
    <t xml:space="preserve">15.10.2026</t>
  </si>
  <si>
    <t xml:space="preserve">Nomzod yetishmasligi (IT, muhandis)</t>
  </si>
  <si>
    <t xml:space="preserve">Vakansiya 30+ kun ochiq</t>
  </si>
  <si>
    <t xml:space="preserve">Yangi kanallar, tavsiya bonusi</t>
  </si>
  <si>
    <t xml:space="preserve">Recruiting menejer</t>
  </si>
  <si>
    <t xml:space="preserve">20.10.2026</t>
  </si>
  <si>
    <t xml:space="preserve">Buyurtmachi javobining kechikishi</t>
  </si>
  <si>
    <t xml:space="preserve">Suhbat bosqichi cho'zilmoqda</t>
  </si>
  <si>
    <t xml:space="preserve">Javob muddati 2 ish kuni</t>
  </si>
  <si>
    <t xml:space="preserve">Bo'lim boshliqlari</t>
  </si>
  <si>
    <t xml:space="preserve">Doimiy</t>
  </si>
  <si>
    <t xml:space="preserve">9. Keyingi oyga reja</t>
  </si>
  <si>
    <t xml:space="preserve">Yo'nalish</t>
  </si>
  <si>
    <t xml:space="preserve">Reja / rahbariyatdan kerakli yordam</t>
  </si>
  <si>
    <t xml:space="preserve">Ustuvor vakansiyalar</t>
  </si>
  <si>
    <t xml:space="preserve">Muhandis-elektrik, IT mutaxassisi, Mahsulot sotuv menejeri</t>
  </si>
  <si>
    <t xml:space="preserve">Yangi kanallar</t>
  </si>
  <si>
    <t xml:space="preserve">LinkedIn, kasb-hunar kollejlari, tavsiya bonusi dasturi</t>
  </si>
  <si>
    <t xml:space="preserve">Rahbariyatdan kerakli qaror</t>
  </si>
  <si>
    <t xml:space="preserve">Maosh vilkasini tasdiqlash, qo'shimcha reklama byudjeti</t>
  </si>
  <si>
    <t xml:space="preserve">Oy xulosalari</t>
  </si>
  <si>
    <t xml:space="preserve">• Qo'shimcha xulosangizni shu yerga yozing.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</si>
</sst>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dd\.mm\.yyyy"/>
    <numFmt numFmtId="167" formatCode="\+0;\-0;0"/>
    <numFmt numFmtId="168" formatCode="0.0%"/>
    <numFmt numFmtId="169" formatCode="\+0.0%;\-0.0%;0.0%"/>
    <numFmt numFmtId="170" formatCode="#,##0"/>
    <numFmt numFmtId="171" formatCode="#,##0;[RED]\-#,##0;0"/>
    <numFmt numFmtId="172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55A11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9F9F9"/>
      </patternFill>
    </fill>
    <fill>
      <patternFill patternType="solid">
        <fgColor rgb="FFDCE6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A6A6A6"/>
      <rgbColor rgb="FF7030A0"/>
      <rgbColor rgb="FFF9F9F9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C55A11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Vakansiyalar bosqichlar bo'yicha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'Oylik hisobot'!$J$32:$J$37</c:f>
              <c:strCache>
                <c:ptCount val="6"/>
                <c:pt idx="0">
                  <c:v>E'lon</c:v>
                </c:pt>
                <c:pt idx="1">
                  <c:v>Skrining</c:v>
                </c:pt>
                <c:pt idx="2">
                  <c:v>Suhbat</c:v>
                </c:pt>
                <c:pt idx="3">
                  <c:v>Taklif</c:v>
                </c:pt>
                <c:pt idx="4">
                  <c:v>5 kunlik sinov</c:v>
                </c:pt>
                <c:pt idx="5">
                  <c:v>Yopilgan</c:v>
                </c:pt>
              </c:strCache>
            </c:strRef>
          </c:cat>
          <c:val>
            <c:numRef>
              <c:f>'Oylik hisobot'!$M$32:$M$37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45504967"/>
        <c:axId val="56979472"/>
      </c:barChart>
      <c:catAx>
        <c:axId val="4550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79472"/>
        <c:crosses val="autoZero"/>
        <c:auto val="1"/>
        <c:lblAlgn val="ctr"/>
        <c:lblOffset val="100"/>
        <c:noMultiLvlLbl val="0"/>
      </c:catAx>
      <c:valAx>
        <c:axId val="5697947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049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Manbalar bo'yicha nomzodlar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'Oylik hisobot'!$B$49:$B$54</c:f>
              <c:strCache>
                <c:ptCount val="6"/>
                <c:pt idx="0">
                  <c:v>hh.uz</c:v>
                </c:pt>
                <c:pt idx="1">
                  <c:v>OLX</c:v>
                </c:pt>
                <c:pt idx="2">
                  <c:v>Telegram kanallari</c:v>
                </c:pt>
                <c:pt idx="3">
                  <c:v>Tavsiya (referral)</c:v>
                </c:pt>
                <c:pt idx="4">
                  <c:v>LinkedIn</c:v>
                </c:pt>
                <c:pt idx="5">
                  <c:v>O'zi murojaat qilgan</c:v>
                </c:pt>
              </c:strCache>
            </c:strRef>
          </c:cat>
          <c:val>
            <c:numRef>
              <c:f>'Oylik hisobot'!$C$49:$C$54</c:f>
              <c:numCache>
                <c:formatCode>#,##0</c:formatCode>
                <c:ptCount val="6"/>
                <c:pt idx="0">
                  <c:v>45</c:v>
                </c:pt>
                <c:pt idx="1">
                  <c:v>20</c:v>
                </c:pt>
                <c:pt idx="2">
                  <c:v>25</c:v>
                </c:pt>
                <c:pt idx="3">
                  <c:v>8</c:v>
                </c:pt>
                <c:pt idx="4">
                  <c:v>7</c:v>
                </c:pt>
                <c:pt idx="5">
                  <c:v>15</c:v>
                </c:pt>
              </c:numCache>
            </c:numRef>
          </c:val>
        </c:ser>
        <c:gapWidth val="150"/>
        <c:overlap val="0"/>
        <c:axId val="57879165"/>
        <c:axId val="71141528"/>
      </c:barChart>
      <c:catAx>
        <c:axId val="578791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41528"/>
        <c:crosses val="autoZero"/>
        <c:auto val="1"/>
        <c:lblAlgn val="ctr"/>
        <c:lblOffset val="100"/>
        <c:noMultiLvlLbl val="0"/>
      </c:catAx>
      <c:valAx>
        <c:axId val="7114152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791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Voronka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'Oylik hisobot'!$B$60:$B$64</c:f>
              <c:strCache>
                <c:ptCount val="5"/>
                <c:pt idx="0">
                  <c:v>Kelib tushgan ariza</c:v>
                </c:pt>
                <c:pt idx="1">
                  <c:v>Skriningdan o'tgan</c:v>
                </c:pt>
                <c:pt idx="2">
                  <c:v>Suhbatga chiqqan</c:v>
                </c:pt>
                <c:pt idx="3">
                  <c:v>Taklif berilgan</c:v>
                </c:pt>
                <c:pt idx="4">
                  <c:v>Qabul qilingan</c:v>
                </c:pt>
              </c:strCache>
            </c:strRef>
          </c:cat>
          <c:val>
            <c:numRef>
              <c:f>'Oylik hisobot'!$C$60:$C$64</c:f>
              <c:numCache>
                <c:formatCode>#,##0</c:formatCode>
                <c:ptCount val="5"/>
                <c:pt idx="0">
                  <c:v>120</c:v>
                </c:pt>
                <c:pt idx="1">
                  <c:v>60</c:v>
                </c:pt>
                <c:pt idx="2">
                  <c:v>30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15182445"/>
        <c:axId val="47244297"/>
      </c:barChart>
      <c:catAx>
        <c:axId val="1518244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44297"/>
        <c:crosses val="autoZero"/>
        <c:auto val="1"/>
        <c:lblAlgn val="ctr"/>
        <c:lblOffset val="100"/>
        <c:noMultiLvlLbl val="0"/>
      </c:catAx>
      <c:valAx>
        <c:axId val="4724429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824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Reja va fakt xarajat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'Oylik hisobot'!C84</c:f>
              <c:strCache>
                <c:ptCount val="1"/>
                <c:pt idx="0">
                  <c:v>Reja (so'm)</c:v>
                </c:pt>
              </c:strCache>
            </c:strRef>
          </c:tx>
          <c:spPr>
            <a:solidFill>
              <a:srgbClr val="a6a6a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'Oylik hisobot'!$B$85:$B$89</c:f>
              <c:strCache>
                <c:ptCount val="5"/>
                <c:pt idx="0">
                  <c:v>E'lonlar (hh.uz, OLX)</c:v>
                </c:pt>
                <c:pt idx="1">
                  <c:v>Telegram reklama</c:v>
                </c:pt>
                <c:pt idx="2">
                  <c:v>Agentlik xizmatlari</c:v>
                </c:pt>
                <c:pt idx="3">
                  <c:v>Test va baholash</c:v>
                </c:pt>
                <c:pt idx="4">
                  <c:v>Boshqa sarflar</c:v>
                </c:pt>
              </c:strCache>
            </c:strRef>
          </c:cat>
          <c:val>
            <c:numRef>
              <c:f>'Oylik hisobot'!$C$85:$C$89</c:f>
              <c:numCache>
                <c:formatCode>#,##0</c:formatCode>
                <c:ptCount val="5"/>
                <c:pt idx="0">
                  <c:v>2000000</c:v>
                </c:pt>
                <c:pt idx="1">
                  <c:v>300000</c:v>
                </c:pt>
                <c:pt idx="2">
                  <c:v>0</c:v>
                </c:pt>
                <c:pt idx="3">
                  <c:v>200000</c:v>
                </c:pt>
                <c:pt idx="4">
                  <c:v>100000</c:v>
                </c:pt>
              </c:numCache>
            </c:numRef>
          </c:val>
        </c:ser>
        <c:ser>
          <c:idx val="1"/>
          <c:order val="1"/>
          <c:tx>
            <c:strRef>
              <c:f>'Oylik hisobot'!D84</c:f>
              <c:strCache>
                <c:ptCount val="1"/>
                <c:pt idx="0">
                  <c:v>Fakt (so'm)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'Oylik hisobot'!$B$85:$B$89</c:f>
              <c:strCache>
                <c:ptCount val="5"/>
                <c:pt idx="0">
                  <c:v>E'lonlar (hh.uz, OLX)</c:v>
                </c:pt>
                <c:pt idx="1">
                  <c:v>Telegram reklama</c:v>
                </c:pt>
                <c:pt idx="2">
                  <c:v>Agentlik xizmatlari</c:v>
                </c:pt>
                <c:pt idx="3">
                  <c:v>Test va baholash</c:v>
                </c:pt>
                <c:pt idx="4">
                  <c:v>Boshqa sarflar</c:v>
                </c:pt>
              </c:strCache>
            </c:strRef>
          </c:cat>
          <c:val>
            <c:numRef>
              <c:f>'Oylik hisobot'!$D$85:$D$89</c:f>
              <c:numCache>
                <c:formatCode>#,##0</c:formatCode>
                <c:ptCount val="5"/>
                <c:pt idx="0">
                  <c:v>1800000</c:v>
                </c:pt>
                <c:pt idx="1">
                  <c:v>200000</c:v>
                </c:pt>
                <c:pt idx="2">
                  <c:v>0</c:v>
                </c:pt>
                <c:pt idx="3">
                  <c:v>150000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9815383"/>
        <c:axId val="54160477"/>
      </c:barChart>
      <c:catAx>
        <c:axId val="99815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60477"/>
        <c:crosses val="autoZero"/>
        <c:auto val="1"/>
        <c:lblAlgn val="ctr"/>
        <c:lblOffset val="100"/>
        <c:noMultiLvlLbl val="0"/>
      </c:catAx>
      <c:valAx>
        <c:axId val="5416047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153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38</xdr:row>
      <xdr:rowOff>0</xdr:rowOff>
    </xdr:from>
    <xdr:to>
      <xdr:col>14</xdr:col>
      <xdr:colOff>507600</xdr:colOff>
      <xdr:row>45</xdr:row>
      <xdr:rowOff>55440</xdr:rowOff>
    </xdr:to>
    <xdr:graphicFrame>
      <xdr:nvGraphicFramePr>
        <xdr:cNvPr id="0" name="Chart 1"/>
        <xdr:cNvGraphicFramePr/>
      </xdr:nvGraphicFramePr>
      <xdr:xfrm>
        <a:off x="8951760" y="9067680"/>
        <a:ext cx="4031640" cy="165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47</xdr:row>
      <xdr:rowOff>0</xdr:rowOff>
    </xdr:from>
    <xdr:to>
      <xdr:col>14</xdr:col>
      <xdr:colOff>507600</xdr:colOff>
      <xdr:row>54</xdr:row>
      <xdr:rowOff>219600</xdr:rowOff>
    </xdr:to>
    <xdr:graphicFrame>
      <xdr:nvGraphicFramePr>
        <xdr:cNvPr id="1" name="Chart 2"/>
        <xdr:cNvGraphicFramePr/>
      </xdr:nvGraphicFramePr>
      <xdr:xfrm>
        <a:off x="8951760" y="11172960"/>
        <a:ext cx="4031640" cy="19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58</xdr:row>
      <xdr:rowOff>0</xdr:rowOff>
    </xdr:from>
    <xdr:to>
      <xdr:col>14</xdr:col>
      <xdr:colOff>507600</xdr:colOff>
      <xdr:row>65</xdr:row>
      <xdr:rowOff>75600</xdr:rowOff>
    </xdr:to>
    <xdr:graphicFrame>
      <xdr:nvGraphicFramePr>
        <xdr:cNvPr id="2" name="Chart 3"/>
        <xdr:cNvGraphicFramePr/>
      </xdr:nvGraphicFramePr>
      <xdr:xfrm>
        <a:off x="8951760" y="13858920"/>
        <a:ext cx="4031640" cy="17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83</xdr:row>
      <xdr:rowOff>0</xdr:rowOff>
    </xdr:from>
    <xdr:to>
      <xdr:col>14</xdr:col>
      <xdr:colOff>507600</xdr:colOff>
      <xdr:row>90</xdr:row>
      <xdr:rowOff>199440</xdr:rowOff>
    </xdr:to>
    <xdr:graphicFrame>
      <xdr:nvGraphicFramePr>
        <xdr:cNvPr id="3" name="Chart 4"/>
        <xdr:cNvGraphicFramePr/>
      </xdr:nvGraphicFramePr>
      <xdr:xfrm>
        <a:off x="8951760" y="20040480"/>
        <a:ext cx="4031640" cy="17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1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9" min="9" style="0" width="3"/>
    <col collapsed="false" customWidth="true" hidden="false" outlineLevel="0" max="15" min="10" style="0" width="10"/>
    <col collapsed="false" customWidth="true" hidden="false" outlineLevel="0" max="16" min="16" style="0" width="2"/>
  </cols>
  <sheetData>
    <row r="1" customFormat="false" ht="18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8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7.5" hidden="false" customHeight="true" outlineLevel="0" collapsed="false"/>
    <row r="6" customFormat="false" ht="19.5" hidden="false" customHeight="true" outlineLevel="0" collapsed="false">
      <c r="B6" s="4" t="s">
        <v>3</v>
      </c>
      <c r="C6" s="5" t="s">
        <v>4</v>
      </c>
      <c r="D6" s="5"/>
      <c r="E6" s="6" t="s">
        <v>5</v>
      </c>
      <c r="F6" s="6"/>
      <c r="G6" s="7" t="s">
        <v>6</v>
      </c>
      <c r="H6" s="7"/>
      <c r="J6" s="8" t="s">
        <v>7</v>
      </c>
      <c r="K6" s="8"/>
      <c r="L6" s="8"/>
      <c r="M6" s="9" t="s">
        <v>8</v>
      </c>
      <c r="N6" s="9"/>
      <c r="O6" s="9"/>
    </row>
    <row r="7" customFormat="false" ht="36" hidden="false" customHeight="true" outlineLevel="0" collapsed="false">
      <c r="B7" s="10" t="n">
        <f aca="false">C35</f>
        <v>7</v>
      </c>
      <c r="C7" s="11" t="n">
        <f aca="false">C34</f>
        <v>6</v>
      </c>
      <c r="D7" s="11"/>
      <c r="E7" s="12" t="n">
        <f aca="false">C36</f>
        <v>120</v>
      </c>
      <c r="F7" s="12"/>
      <c r="G7" s="13" t="n">
        <f aca="false">C39</f>
        <v>9</v>
      </c>
      <c r="H7" s="13"/>
      <c r="J7" s="14" t="n">
        <f aca="false">C40</f>
        <v>6</v>
      </c>
      <c r="K7" s="14"/>
      <c r="L7" s="14"/>
      <c r="M7" s="15" t="n">
        <f aca="false">C41</f>
        <v>28</v>
      </c>
      <c r="N7" s="15"/>
      <c r="O7" s="15"/>
    </row>
    <row r="8" customFormat="false" ht="18" hidden="false" customHeight="true" outlineLevel="0" collapsed="false">
      <c r="B8" s="16" t="s">
        <v>9</v>
      </c>
      <c r="C8" s="17" t="s">
        <v>10</v>
      </c>
      <c r="D8" s="17"/>
      <c r="E8" s="18" t="s">
        <v>11</v>
      </c>
      <c r="F8" s="18"/>
      <c r="G8" s="19" t="s">
        <v>12</v>
      </c>
      <c r="H8" s="19"/>
      <c r="J8" s="20" t="s">
        <v>13</v>
      </c>
      <c r="K8" s="20"/>
      <c r="L8" s="20"/>
      <c r="M8" s="21" t="s">
        <v>14</v>
      </c>
      <c r="N8" s="21"/>
      <c r="O8" s="21"/>
    </row>
    <row r="9" customFormat="false" ht="9.75" hidden="false" customHeight="true" outlineLevel="0" collapsed="false"/>
    <row r="10" customFormat="false" ht="21.75" hidden="false" customHeight="true" outlineLevel="0" collapsed="false">
      <c r="B10" s="22" t="s">
        <v>15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customFormat="false" ht="18" hidden="false" customHeight="true" outlineLevel="0" collapsed="false">
      <c r="B11" s="23" t="s">
        <v>16</v>
      </c>
      <c r="C11" s="24" t="n">
        <v>46266</v>
      </c>
      <c r="D11" s="24"/>
      <c r="E11" s="25" t="s">
        <v>17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customFormat="false" ht="18" hidden="false" customHeight="true" outlineLevel="0" collapsed="false">
      <c r="B12" s="23" t="s">
        <v>18</v>
      </c>
      <c r="C12" s="24" t="n">
        <v>46295</v>
      </c>
      <c r="D12" s="24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customFormat="false" ht="18" hidden="false" customHeight="true" outlineLevel="0" collapsed="false">
      <c r="B13" s="23" t="s">
        <v>19</v>
      </c>
      <c r="C13" s="26" t="s">
        <v>20</v>
      </c>
      <c r="D13" s="26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customFormat="false" ht="18" hidden="false" customHeight="true" outlineLevel="0" collapsed="false">
      <c r="B14" s="23" t="s">
        <v>21</v>
      </c>
      <c r="C14" s="24" t="n">
        <v>46300</v>
      </c>
      <c r="D14" s="2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customFormat="false" ht="18" hidden="false" customHeight="true" outlineLevel="0" collapsed="false"/>
    <row r="16" customFormat="false" ht="21.75" hidden="false" customHeight="true" outlineLevel="0" collapsed="false">
      <c r="B16" s="22" t="s">
        <v>22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</row>
    <row r="17" customFormat="false" ht="18" hidden="false" customHeight="true" outlineLevel="0" collapsed="false">
      <c r="B17" s="27" t="s">
        <v>23</v>
      </c>
      <c r="C17" s="27" t="s">
        <v>24</v>
      </c>
      <c r="D17" s="27" t="s">
        <v>25</v>
      </c>
      <c r="E17" s="27" t="s">
        <v>26</v>
      </c>
      <c r="F17" s="27" t="s">
        <v>27</v>
      </c>
      <c r="G17" s="27" t="s">
        <v>28</v>
      </c>
      <c r="H17" s="27" t="s">
        <v>29</v>
      </c>
      <c r="I17" s="27" t="s">
        <v>30</v>
      </c>
      <c r="J17" s="27"/>
      <c r="K17" s="27"/>
      <c r="L17" s="27"/>
      <c r="M17" s="27"/>
      <c r="N17" s="27"/>
      <c r="O17" s="27"/>
    </row>
    <row r="18" customFormat="false" ht="18" hidden="false" customHeight="true" outlineLevel="0" collapsed="false">
      <c r="B18" s="28" t="s">
        <v>31</v>
      </c>
      <c r="C18" s="28" t="s">
        <v>32</v>
      </c>
      <c r="D18" s="28" t="s">
        <v>33</v>
      </c>
      <c r="E18" s="29" t="n">
        <v>46246</v>
      </c>
      <c r="F18" s="30" t="s">
        <v>34</v>
      </c>
      <c r="G18" s="31" t="n">
        <f aca="false">IF(OR(E18="",F18="Yopilgan"),"",$C$12-E18)</f>
        <v>49</v>
      </c>
      <c r="H18" s="30" t="s">
        <v>35</v>
      </c>
      <c r="I18" s="25" t="s">
        <v>36</v>
      </c>
      <c r="J18" s="25"/>
      <c r="K18" s="25"/>
      <c r="L18" s="25"/>
      <c r="M18" s="25"/>
      <c r="N18" s="25"/>
      <c r="O18" s="25"/>
    </row>
    <row r="19" customFormat="false" ht="18" hidden="false" customHeight="true" outlineLevel="0" collapsed="false">
      <c r="B19" s="28" t="s">
        <v>37</v>
      </c>
      <c r="C19" s="28" t="s">
        <v>38</v>
      </c>
      <c r="D19" s="28" t="s">
        <v>39</v>
      </c>
      <c r="E19" s="29" t="n">
        <v>46254</v>
      </c>
      <c r="F19" s="30" t="s">
        <v>40</v>
      </c>
      <c r="G19" s="31" t="n">
        <f aca="false">IF(OR(E19="",F19="Yopilgan"),"",$C$12-E19)</f>
        <v>41</v>
      </c>
      <c r="H19" s="30" t="s">
        <v>35</v>
      </c>
      <c r="I19" s="25" t="s">
        <v>41</v>
      </c>
      <c r="J19" s="25"/>
      <c r="K19" s="25"/>
      <c r="L19" s="25"/>
      <c r="M19" s="25"/>
      <c r="N19" s="25"/>
      <c r="O19" s="25"/>
    </row>
    <row r="20" customFormat="false" ht="18" hidden="false" customHeight="true" outlineLevel="0" collapsed="false">
      <c r="B20" s="28" t="s">
        <v>42</v>
      </c>
      <c r="C20" s="28" t="s">
        <v>43</v>
      </c>
      <c r="D20" s="28" t="s">
        <v>44</v>
      </c>
      <c r="E20" s="29" t="n">
        <v>46267</v>
      </c>
      <c r="F20" s="30" t="s">
        <v>45</v>
      </c>
      <c r="G20" s="31" t="n">
        <f aca="false">IF(OR(E20="",F20="Yopilgan"),"",$C$12-E20)</f>
        <v>28</v>
      </c>
      <c r="H20" s="30" t="s">
        <v>46</v>
      </c>
      <c r="I20" s="25" t="s">
        <v>47</v>
      </c>
      <c r="J20" s="25"/>
      <c r="K20" s="25"/>
      <c r="L20" s="25"/>
      <c r="M20" s="25"/>
      <c r="N20" s="25"/>
      <c r="O20" s="25"/>
    </row>
    <row r="21" customFormat="false" ht="18" hidden="false" customHeight="true" outlineLevel="0" collapsed="false">
      <c r="B21" s="28" t="s">
        <v>48</v>
      </c>
      <c r="C21" s="28" t="s">
        <v>49</v>
      </c>
      <c r="D21" s="28" t="s">
        <v>50</v>
      </c>
      <c r="E21" s="29" t="n">
        <v>46270</v>
      </c>
      <c r="F21" s="30" t="s">
        <v>51</v>
      </c>
      <c r="G21" s="31" t="n">
        <f aca="false">IF(OR(E21="",F21="Yopilgan"),"",$C$12-E21)</f>
        <v>25</v>
      </c>
      <c r="H21" s="30" t="s">
        <v>46</v>
      </c>
      <c r="I21" s="25"/>
      <c r="J21" s="25"/>
      <c r="K21" s="25"/>
      <c r="L21" s="25"/>
      <c r="M21" s="25"/>
      <c r="N21" s="25"/>
      <c r="O21" s="25"/>
    </row>
    <row r="22" customFormat="false" ht="18" hidden="false" customHeight="true" outlineLevel="0" collapsed="false">
      <c r="B22" s="28" t="s">
        <v>52</v>
      </c>
      <c r="C22" s="28" t="s">
        <v>53</v>
      </c>
      <c r="D22" s="28" t="s">
        <v>54</v>
      </c>
      <c r="E22" s="29" t="n">
        <v>46259</v>
      </c>
      <c r="F22" s="30" t="s">
        <v>55</v>
      </c>
      <c r="G22" s="31" t="str">
        <f aca="false">IF(OR(E22="",F22="Yopilgan"),"",$C$12-E22)</f>
        <v/>
      </c>
      <c r="H22" s="30" t="s">
        <v>46</v>
      </c>
      <c r="I22" s="25" t="s">
        <v>56</v>
      </c>
      <c r="J22" s="25"/>
      <c r="K22" s="25"/>
      <c r="L22" s="25"/>
      <c r="M22" s="25"/>
      <c r="N22" s="25"/>
      <c r="O22" s="25"/>
    </row>
    <row r="23" customFormat="false" ht="18" hidden="false" customHeight="true" outlineLevel="0" collapsed="false">
      <c r="B23" s="28" t="s">
        <v>57</v>
      </c>
      <c r="C23" s="28" t="s">
        <v>58</v>
      </c>
      <c r="D23" s="28" t="s">
        <v>59</v>
      </c>
      <c r="E23" s="29" t="n">
        <v>46275</v>
      </c>
      <c r="F23" s="30" t="s">
        <v>60</v>
      </c>
      <c r="G23" s="31" t="n">
        <f aca="false">IF(OR(E23="",F23="Yopilgan"),"",$C$12-E23)</f>
        <v>20</v>
      </c>
      <c r="H23" s="30" t="s">
        <v>61</v>
      </c>
      <c r="I23" s="25" t="s">
        <v>62</v>
      </c>
      <c r="J23" s="25"/>
      <c r="K23" s="25"/>
      <c r="L23" s="25"/>
      <c r="M23" s="25"/>
      <c r="N23" s="25"/>
      <c r="O23" s="25"/>
    </row>
    <row r="24" customFormat="false" ht="18" hidden="false" customHeight="true" outlineLevel="0" collapsed="false">
      <c r="B24" s="28" t="s">
        <v>63</v>
      </c>
      <c r="C24" s="28" t="s">
        <v>64</v>
      </c>
      <c r="D24" s="28" t="s">
        <v>65</v>
      </c>
      <c r="E24" s="29" t="n">
        <v>46280</v>
      </c>
      <c r="F24" s="30" t="s">
        <v>51</v>
      </c>
      <c r="G24" s="31" t="n">
        <f aca="false">IF(OR(E24="",F24="Yopilgan"),"",$C$12-E24)</f>
        <v>15</v>
      </c>
      <c r="H24" s="30" t="s">
        <v>35</v>
      </c>
      <c r="I24" s="25" t="s">
        <v>66</v>
      </c>
      <c r="J24" s="25"/>
      <c r="K24" s="25"/>
      <c r="L24" s="25"/>
      <c r="M24" s="25"/>
      <c r="N24" s="25"/>
      <c r="O24" s="25"/>
    </row>
    <row r="25" customFormat="false" ht="18" hidden="false" customHeight="true" outlineLevel="0" collapsed="false">
      <c r="B25" s="28" t="s">
        <v>67</v>
      </c>
      <c r="C25" s="28" t="s">
        <v>53</v>
      </c>
      <c r="D25" s="28" t="s">
        <v>54</v>
      </c>
      <c r="E25" s="29" t="n">
        <v>46266</v>
      </c>
      <c r="F25" s="30" t="s">
        <v>55</v>
      </c>
      <c r="G25" s="31" t="str">
        <f aca="false">IF(OR(E25="",F25="Yopilgan"),"",$C$12-E25)</f>
        <v/>
      </c>
      <c r="H25" s="30" t="s">
        <v>61</v>
      </c>
      <c r="I25" s="25" t="s">
        <v>68</v>
      </c>
      <c r="J25" s="25"/>
      <c r="K25" s="25"/>
      <c r="L25" s="25"/>
      <c r="M25" s="25"/>
      <c r="N25" s="25"/>
      <c r="O25" s="25"/>
    </row>
    <row r="26" customFormat="false" ht="18" hidden="false" customHeight="true" outlineLevel="0" collapsed="false">
      <c r="B26" s="28"/>
      <c r="C26" s="28"/>
      <c r="D26" s="28"/>
      <c r="E26" s="29"/>
      <c r="F26" s="30"/>
      <c r="G26" s="31" t="str">
        <f aca="false">IF(OR(E26="",F26="Yopilgan"),"",$C$12-E26)</f>
        <v/>
      </c>
      <c r="H26" s="30"/>
      <c r="I26" s="25"/>
      <c r="J26" s="25"/>
      <c r="K26" s="25"/>
      <c r="L26" s="25"/>
      <c r="M26" s="25"/>
      <c r="N26" s="25"/>
      <c r="O26" s="25"/>
    </row>
    <row r="27" customFormat="false" ht="18" hidden="false" customHeight="true" outlineLevel="0" collapsed="false">
      <c r="B27" s="28"/>
      <c r="C27" s="28"/>
      <c r="D27" s="28"/>
      <c r="E27" s="29"/>
      <c r="F27" s="30"/>
      <c r="G27" s="31" t="str">
        <f aca="false">IF(OR(E27="",F27="Yopilgan"),"",$C$12-E27)</f>
        <v/>
      </c>
      <c r="H27" s="30"/>
      <c r="I27" s="25"/>
      <c r="J27" s="25"/>
      <c r="K27" s="25"/>
      <c r="L27" s="25"/>
      <c r="M27" s="25"/>
      <c r="N27" s="25"/>
      <c r="O27" s="25"/>
    </row>
    <row r="28" customFormat="false" ht="18" hidden="false" customHeight="true" outlineLevel="0" collapsed="false">
      <c r="B28" s="32" t="s">
        <v>69</v>
      </c>
    </row>
    <row r="29" customFormat="false" ht="18" hidden="false" customHeight="true" outlineLevel="0" collapsed="false"/>
    <row r="30" customFormat="false" ht="21.75" hidden="false" customHeight="true" outlineLevel="0" collapsed="false">
      <c r="B30" s="22" t="s">
        <v>70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customFormat="false" ht="18" hidden="false" customHeight="true" outlineLevel="0" collapsed="false">
      <c r="B31" s="27" t="s">
        <v>71</v>
      </c>
      <c r="C31" s="27" t="s">
        <v>72</v>
      </c>
      <c r="D31" s="27" t="s">
        <v>73</v>
      </c>
      <c r="E31" s="27" t="s">
        <v>74</v>
      </c>
      <c r="F31" s="27" t="s">
        <v>75</v>
      </c>
      <c r="G31" s="27"/>
      <c r="H31" s="27"/>
      <c r="J31" s="27" t="s">
        <v>76</v>
      </c>
      <c r="K31" s="27"/>
      <c r="L31" s="27"/>
      <c r="M31" s="27" t="s">
        <v>77</v>
      </c>
      <c r="N31" s="27"/>
      <c r="O31" s="27"/>
    </row>
    <row r="32" customFormat="false" ht="18" hidden="false" customHeight="true" outlineLevel="0" collapsed="false">
      <c r="B32" s="33" t="s">
        <v>78</v>
      </c>
      <c r="C32" s="34" t="n">
        <v>8</v>
      </c>
      <c r="D32" s="34" t="n">
        <v>7</v>
      </c>
      <c r="E32" s="35" t="n">
        <f aca="false">C32-D32</f>
        <v>1</v>
      </c>
      <c r="F32" s="25"/>
      <c r="G32" s="25"/>
      <c r="H32" s="25"/>
      <c r="J32" s="33" t="s">
        <v>60</v>
      </c>
      <c r="K32" s="33"/>
      <c r="L32" s="33"/>
      <c r="M32" s="31" t="n">
        <f aca="false">COUNTIF($F$18:$F$27,J32)</f>
        <v>1</v>
      </c>
      <c r="N32" s="31"/>
      <c r="O32" s="31"/>
    </row>
    <row r="33" customFormat="false" ht="18" hidden="false" customHeight="true" outlineLevel="0" collapsed="false">
      <c r="B33" s="33" t="s">
        <v>79</v>
      </c>
      <c r="C33" s="34" t="n">
        <v>5</v>
      </c>
      <c r="D33" s="34" t="n">
        <v>6</v>
      </c>
      <c r="E33" s="35" t="n">
        <f aca="false">C33-D33</f>
        <v>-1</v>
      </c>
      <c r="F33" s="25"/>
      <c r="G33" s="25"/>
      <c r="H33" s="25"/>
      <c r="J33" s="33" t="s">
        <v>51</v>
      </c>
      <c r="K33" s="33"/>
      <c r="L33" s="33"/>
      <c r="M33" s="31" t="n">
        <f aca="false">COUNTIF($F$18:$F$27,J33)</f>
        <v>2</v>
      </c>
      <c r="N33" s="31"/>
      <c r="O33" s="31"/>
    </row>
    <row r="34" customFormat="false" ht="18" hidden="false" customHeight="true" outlineLevel="0" collapsed="false">
      <c r="B34" s="33" t="s">
        <v>80</v>
      </c>
      <c r="C34" s="34" t="n">
        <v>6</v>
      </c>
      <c r="D34" s="34" t="n">
        <v>4</v>
      </c>
      <c r="E34" s="35" t="n">
        <f aca="false">C34-D34</f>
        <v>2</v>
      </c>
      <c r="F34" s="25"/>
      <c r="G34" s="25"/>
      <c r="H34" s="25"/>
      <c r="J34" s="33" t="s">
        <v>34</v>
      </c>
      <c r="K34" s="33"/>
      <c r="L34" s="33"/>
      <c r="M34" s="31" t="n">
        <f aca="false">COUNTIF($F$18:$F$27,J34)</f>
        <v>1</v>
      </c>
      <c r="N34" s="31"/>
      <c r="O34" s="31"/>
    </row>
    <row r="35" customFormat="false" ht="18" hidden="false" customHeight="true" outlineLevel="0" collapsed="false">
      <c r="B35" s="36" t="s">
        <v>81</v>
      </c>
      <c r="C35" s="37" t="n">
        <f aca="false">C32+C33-C34</f>
        <v>7</v>
      </c>
      <c r="D35" s="37" t="n">
        <f aca="false">D32+D33-D34</f>
        <v>9</v>
      </c>
      <c r="E35" s="35" t="n">
        <f aca="false">C35-D35</f>
        <v>-2</v>
      </c>
      <c r="F35" s="25"/>
      <c r="G35" s="25"/>
      <c r="H35" s="25"/>
      <c r="J35" s="33" t="s">
        <v>45</v>
      </c>
      <c r="K35" s="33"/>
      <c r="L35" s="33"/>
      <c r="M35" s="31" t="n">
        <f aca="false">COUNTIF($F$18:$F$27,J35)</f>
        <v>1</v>
      </c>
      <c r="N35" s="31"/>
      <c r="O35" s="31"/>
    </row>
    <row r="36" customFormat="false" ht="18" hidden="false" customHeight="true" outlineLevel="0" collapsed="false">
      <c r="B36" s="33" t="s">
        <v>82</v>
      </c>
      <c r="C36" s="34" t="n">
        <v>120</v>
      </c>
      <c r="D36" s="34" t="n">
        <v>95</v>
      </c>
      <c r="E36" s="35" t="n">
        <f aca="false">C36-D36</f>
        <v>25</v>
      </c>
      <c r="F36" s="25"/>
      <c r="G36" s="25"/>
      <c r="H36" s="25"/>
      <c r="J36" s="33" t="s">
        <v>40</v>
      </c>
      <c r="K36" s="33"/>
      <c r="L36" s="33"/>
      <c r="M36" s="31" t="n">
        <f aca="false">COUNTIF($F$18:$F$27,J36)</f>
        <v>1</v>
      </c>
      <c r="N36" s="31"/>
      <c r="O36" s="31"/>
    </row>
    <row r="37" customFormat="false" ht="18" hidden="false" customHeight="true" outlineLevel="0" collapsed="false">
      <c r="B37" s="33" t="s">
        <v>83</v>
      </c>
      <c r="C37" s="34" t="n">
        <v>60</v>
      </c>
      <c r="D37" s="34" t="n">
        <v>48</v>
      </c>
      <c r="E37" s="35" t="n">
        <f aca="false">C37-D37</f>
        <v>12</v>
      </c>
      <c r="F37" s="25"/>
      <c r="G37" s="25"/>
      <c r="H37" s="25"/>
      <c r="J37" s="33" t="s">
        <v>55</v>
      </c>
      <c r="K37" s="33"/>
      <c r="L37" s="33"/>
      <c r="M37" s="31" t="n">
        <f aca="false">COUNTIF($F$18:$F$27,J37)</f>
        <v>2</v>
      </c>
      <c r="N37" s="31"/>
      <c r="O37" s="31"/>
    </row>
    <row r="38" customFormat="false" ht="18" hidden="false" customHeight="true" outlineLevel="0" collapsed="false">
      <c r="B38" s="33" t="s">
        <v>84</v>
      </c>
      <c r="C38" s="34" t="n">
        <v>30</v>
      </c>
      <c r="D38" s="34" t="n">
        <v>25</v>
      </c>
      <c r="E38" s="35" t="n">
        <f aca="false">C38-D38</f>
        <v>5</v>
      </c>
      <c r="F38" s="25"/>
      <c r="G38" s="25"/>
      <c r="H38" s="25"/>
    </row>
    <row r="39" customFormat="false" ht="18" hidden="false" customHeight="true" outlineLevel="0" collapsed="false">
      <c r="B39" s="33" t="s">
        <v>85</v>
      </c>
      <c r="C39" s="34" t="n">
        <v>9</v>
      </c>
      <c r="D39" s="34" t="n">
        <v>7</v>
      </c>
      <c r="E39" s="35" t="n">
        <f aca="false">C39-D39</f>
        <v>2</v>
      </c>
      <c r="F39" s="25"/>
      <c r="G39" s="25"/>
      <c r="H39" s="25"/>
    </row>
    <row r="40" customFormat="false" ht="18" hidden="false" customHeight="true" outlineLevel="0" collapsed="false">
      <c r="B40" s="36" t="s">
        <v>86</v>
      </c>
      <c r="C40" s="34" t="n">
        <v>6</v>
      </c>
      <c r="D40" s="34" t="n">
        <v>4</v>
      </c>
      <c r="E40" s="35" t="n">
        <f aca="false">C40-D40</f>
        <v>2</v>
      </c>
      <c r="F40" s="25"/>
      <c r="G40" s="25"/>
      <c r="H40" s="25"/>
    </row>
    <row r="41" customFormat="false" ht="18" hidden="false" customHeight="true" outlineLevel="0" collapsed="false">
      <c r="B41" s="33" t="s">
        <v>87</v>
      </c>
      <c r="C41" s="34" t="n">
        <v>28</v>
      </c>
      <c r="D41" s="34" t="n">
        <v>32</v>
      </c>
      <c r="E41" s="35" t="n">
        <f aca="false">C41-D41</f>
        <v>-4</v>
      </c>
      <c r="F41" s="25"/>
      <c r="G41" s="25"/>
      <c r="H41" s="25"/>
    </row>
    <row r="42" customFormat="false" ht="18" hidden="false" customHeight="true" outlineLevel="0" collapsed="false">
      <c r="B42" s="33" t="s">
        <v>88</v>
      </c>
      <c r="C42" s="34" t="n">
        <v>18</v>
      </c>
      <c r="D42" s="34" t="n">
        <v>21</v>
      </c>
      <c r="E42" s="35" t="n">
        <f aca="false">C42-D42</f>
        <v>-3</v>
      </c>
      <c r="F42" s="25"/>
      <c r="G42" s="25"/>
      <c r="H42" s="25"/>
    </row>
    <row r="43" customFormat="false" ht="18" hidden="false" customHeight="true" outlineLevel="0" collapsed="false">
      <c r="B43" s="33" t="s">
        <v>89</v>
      </c>
      <c r="C43" s="38" t="n">
        <f aca="false">IFERROR(C40/C39,0)</f>
        <v>0.666666666666667</v>
      </c>
      <c r="D43" s="38" t="n">
        <f aca="false">IFERROR(D40/D39,0)</f>
        <v>0.571428571428571</v>
      </c>
      <c r="E43" s="39" t="n">
        <f aca="false">C43-D43</f>
        <v>0.0952380952380952</v>
      </c>
      <c r="F43" s="25"/>
      <c r="G43" s="25"/>
      <c r="H43" s="25"/>
    </row>
    <row r="44" customFormat="false" ht="18" hidden="false" customHeight="true" outlineLevel="0" collapsed="false">
      <c r="B44" s="33" t="s">
        <v>90</v>
      </c>
      <c r="C44" s="40" t="n">
        <f aca="false">IFERROR(D90/C40,0)</f>
        <v>358333.333333333</v>
      </c>
      <c r="D44" s="41" t="n">
        <v>450000</v>
      </c>
      <c r="E44" s="35" t="n">
        <f aca="false">C44-D44</f>
        <v>-91666.6666666667</v>
      </c>
      <c r="F44" s="25"/>
      <c r="G44" s="25"/>
      <c r="H44" s="25"/>
    </row>
    <row r="45" customFormat="false" ht="18" hidden="false" customHeight="true" outlineLevel="0" collapsed="false">
      <c r="B45" s="32" t="s">
        <v>91</v>
      </c>
    </row>
    <row r="46" customFormat="false" ht="18" hidden="false" customHeight="true" outlineLevel="0" collapsed="false"/>
    <row r="47" customFormat="false" ht="21.75" hidden="false" customHeight="true" outlineLevel="0" collapsed="false">
      <c r="B47" s="22" t="s">
        <v>92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customFormat="false" ht="27.75" hidden="false" customHeight="true" outlineLevel="0" collapsed="false">
      <c r="B48" s="27" t="s">
        <v>93</v>
      </c>
      <c r="C48" s="27" t="s">
        <v>94</v>
      </c>
      <c r="D48" s="27" t="s">
        <v>84</v>
      </c>
      <c r="E48" s="27" t="s">
        <v>45</v>
      </c>
      <c r="F48" s="27" t="s">
        <v>95</v>
      </c>
      <c r="G48" s="27" t="s">
        <v>96</v>
      </c>
      <c r="H48" s="27" t="s">
        <v>97</v>
      </c>
    </row>
    <row r="49" customFormat="false" ht="18" hidden="false" customHeight="true" outlineLevel="0" collapsed="false">
      <c r="B49" s="28" t="s">
        <v>98</v>
      </c>
      <c r="C49" s="41" t="n">
        <v>45</v>
      </c>
      <c r="D49" s="41" t="n">
        <v>12</v>
      </c>
      <c r="E49" s="41" t="n">
        <v>4</v>
      </c>
      <c r="F49" s="41" t="n">
        <v>3</v>
      </c>
      <c r="G49" s="41" t="n">
        <v>1500000</v>
      </c>
      <c r="H49" s="38" t="n">
        <f aca="false">IFERROR(F49/C49,0)</f>
        <v>0.0666666666666667</v>
      </c>
    </row>
    <row r="50" customFormat="false" ht="18" hidden="false" customHeight="true" outlineLevel="0" collapsed="false">
      <c r="B50" s="28" t="s">
        <v>99</v>
      </c>
      <c r="C50" s="41" t="n">
        <v>20</v>
      </c>
      <c r="D50" s="41" t="n">
        <v>5</v>
      </c>
      <c r="E50" s="41" t="n">
        <v>1</v>
      </c>
      <c r="F50" s="41" t="n">
        <v>0</v>
      </c>
      <c r="G50" s="41" t="n">
        <v>300000</v>
      </c>
      <c r="H50" s="38" t="n">
        <f aca="false">IFERROR(F50/C50,0)</f>
        <v>0</v>
      </c>
    </row>
    <row r="51" customFormat="false" ht="18" hidden="false" customHeight="true" outlineLevel="0" collapsed="false">
      <c r="B51" s="28" t="s">
        <v>100</v>
      </c>
      <c r="C51" s="41" t="n">
        <v>25</v>
      </c>
      <c r="D51" s="41" t="n">
        <v>6</v>
      </c>
      <c r="E51" s="41" t="n">
        <v>2</v>
      </c>
      <c r="F51" s="41" t="n">
        <v>1</v>
      </c>
      <c r="G51" s="41" t="n">
        <v>200000</v>
      </c>
      <c r="H51" s="38" t="n">
        <f aca="false">IFERROR(F51/C51,0)</f>
        <v>0.04</v>
      </c>
    </row>
    <row r="52" customFormat="false" ht="18" hidden="false" customHeight="true" outlineLevel="0" collapsed="false">
      <c r="B52" s="28" t="s">
        <v>101</v>
      </c>
      <c r="C52" s="41" t="n">
        <v>8</v>
      </c>
      <c r="D52" s="41" t="n">
        <v>4</v>
      </c>
      <c r="E52" s="41" t="n">
        <v>2</v>
      </c>
      <c r="F52" s="41" t="n">
        <v>2</v>
      </c>
      <c r="G52" s="41" t="n">
        <v>0</v>
      </c>
      <c r="H52" s="38" t="n">
        <f aca="false">IFERROR(F52/C52,0)</f>
        <v>0.25</v>
      </c>
    </row>
    <row r="53" customFormat="false" ht="18" hidden="false" customHeight="true" outlineLevel="0" collapsed="false">
      <c r="B53" s="28" t="s">
        <v>102</v>
      </c>
      <c r="C53" s="41" t="n">
        <v>7</v>
      </c>
      <c r="D53" s="41" t="n">
        <v>2</v>
      </c>
      <c r="E53" s="41" t="n">
        <v>0</v>
      </c>
      <c r="F53" s="41" t="n">
        <v>0</v>
      </c>
      <c r="G53" s="41" t="n">
        <v>0</v>
      </c>
      <c r="H53" s="38" t="n">
        <f aca="false">IFERROR(F53/C53,0)</f>
        <v>0</v>
      </c>
    </row>
    <row r="54" customFormat="false" ht="18" hidden="false" customHeight="true" outlineLevel="0" collapsed="false">
      <c r="B54" s="28" t="s">
        <v>103</v>
      </c>
      <c r="C54" s="41" t="n">
        <v>15</v>
      </c>
      <c r="D54" s="41" t="n">
        <v>1</v>
      </c>
      <c r="E54" s="41" t="n">
        <v>0</v>
      </c>
      <c r="F54" s="41" t="n">
        <v>0</v>
      </c>
      <c r="G54" s="41" t="n">
        <v>0</v>
      </c>
      <c r="H54" s="38" t="n">
        <f aca="false">IFERROR(F54/C54,0)</f>
        <v>0</v>
      </c>
    </row>
    <row r="55" customFormat="false" ht="18" hidden="false" customHeight="true" outlineLevel="0" collapsed="false">
      <c r="B55" s="42" t="s">
        <v>104</v>
      </c>
      <c r="C55" s="43" t="n">
        <f aca="false">SUM(C49:C54)</f>
        <v>120</v>
      </c>
      <c r="D55" s="43" t="n">
        <f aca="false">SUM(D49:D54)</f>
        <v>30</v>
      </c>
      <c r="E55" s="43" t="n">
        <f aca="false">SUM(E49:E54)</f>
        <v>9</v>
      </c>
      <c r="F55" s="43" t="n">
        <f aca="false">SUM(F49:F54)</f>
        <v>6</v>
      </c>
      <c r="G55" s="43" t="n">
        <f aca="false">SUM(G49:G54)</f>
        <v>2000000</v>
      </c>
      <c r="H55" s="44" t="n">
        <f aca="false">IFERROR(F55/C55,0)</f>
        <v>0.05</v>
      </c>
    </row>
    <row r="56" customFormat="false" ht="18" hidden="false" customHeight="true" outlineLevel="0" collapsed="false">
      <c r="B56" s="45" t="s">
        <v>105</v>
      </c>
      <c r="E56" s="46" t="str">
        <f aca="false">IFERROR(INDEX(B49:B54,MATCH(MAX(H49:H54),H49:H54,0)),"-")</f>
        <v>Tavsiya (referral)</v>
      </c>
    </row>
    <row r="57" customFormat="false" ht="18" hidden="false" customHeight="true" outlineLevel="0" collapsed="false"/>
    <row r="58" customFormat="false" ht="21.75" hidden="false" customHeight="true" outlineLevel="0" collapsed="false">
      <c r="B58" s="22" t="s">
        <v>106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</row>
    <row r="59" customFormat="false" ht="27.75" hidden="false" customHeight="true" outlineLevel="0" collapsed="false">
      <c r="B59" s="27" t="s">
        <v>76</v>
      </c>
      <c r="C59" s="27" t="s">
        <v>107</v>
      </c>
      <c r="D59" s="27" t="s">
        <v>108</v>
      </c>
      <c r="E59" s="27" t="s">
        <v>109</v>
      </c>
      <c r="F59" s="27" t="s">
        <v>75</v>
      </c>
      <c r="G59" s="27"/>
      <c r="H59" s="27"/>
    </row>
    <row r="60" customFormat="false" ht="18" hidden="false" customHeight="true" outlineLevel="0" collapsed="false">
      <c r="B60" s="33" t="s">
        <v>110</v>
      </c>
      <c r="C60" s="40" t="n">
        <f aca="false">C36</f>
        <v>120</v>
      </c>
      <c r="D60" s="38"/>
      <c r="E60" s="38" t="n">
        <f aca="false">IFERROR(C60/$C$60,0)</f>
        <v>1</v>
      </c>
      <c r="F60" s="25"/>
      <c r="G60" s="25"/>
      <c r="H60" s="25"/>
    </row>
    <row r="61" customFormat="false" ht="18" hidden="false" customHeight="true" outlineLevel="0" collapsed="false">
      <c r="B61" s="33" t="s">
        <v>83</v>
      </c>
      <c r="C61" s="40" t="n">
        <f aca="false">C37</f>
        <v>60</v>
      </c>
      <c r="D61" s="38" t="n">
        <f aca="false">IFERROR(C61/C60,0)</f>
        <v>0.5</v>
      </c>
      <c r="E61" s="38" t="n">
        <f aca="false">IFERROR(C61/$C$60,0)</f>
        <v>0.5</v>
      </c>
      <c r="F61" s="25"/>
      <c r="G61" s="25"/>
      <c r="H61" s="25"/>
    </row>
    <row r="62" customFormat="false" ht="18" hidden="false" customHeight="true" outlineLevel="0" collapsed="false">
      <c r="B62" s="33" t="s">
        <v>84</v>
      </c>
      <c r="C62" s="40" t="n">
        <f aca="false">C38</f>
        <v>30</v>
      </c>
      <c r="D62" s="38" t="n">
        <f aca="false">IFERROR(C62/C61,0)</f>
        <v>0.5</v>
      </c>
      <c r="E62" s="38" t="n">
        <f aca="false">IFERROR(C62/$C$60,0)</f>
        <v>0.25</v>
      </c>
      <c r="F62" s="25"/>
      <c r="G62" s="25"/>
      <c r="H62" s="25"/>
    </row>
    <row r="63" customFormat="false" ht="18" hidden="false" customHeight="true" outlineLevel="0" collapsed="false">
      <c r="B63" s="33" t="s">
        <v>85</v>
      </c>
      <c r="C63" s="40" t="n">
        <f aca="false">C39</f>
        <v>9</v>
      </c>
      <c r="D63" s="38" t="n">
        <f aca="false">IFERROR(C63/C62,0)</f>
        <v>0.3</v>
      </c>
      <c r="E63" s="38" t="n">
        <f aca="false">IFERROR(C63/$C$60,0)</f>
        <v>0.075</v>
      </c>
      <c r="F63" s="25"/>
      <c r="G63" s="25"/>
      <c r="H63" s="25"/>
    </row>
    <row r="64" customFormat="false" ht="18" hidden="false" customHeight="true" outlineLevel="0" collapsed="false">
      <c r="B64" s="33" t="s">
        <v>95</v>
      </c>
      <c r="C64" s="40" t="n">
        <f aca="false">C40</f>
        <v>6</v>
      </c>
      <c r="D64" s="38" t="n">
        <f aca="false">IFERROR(C64/C63,0)</f>
        <v>0.666666666666667</v>
      </c>
      <c r="E64" s="38" t="n">
        <f aca="false">IFERROR(C64/$C$60,0)</f>
        <v>0.05</v>
      </c>
      <c r="F64" s="25"/>
      <c r="G64" s="25"/>
      <c r="H64" s="25"/>
    </row>
    <row r="65" customFormat="false" ht="18" hidden="false" customHeight="true" outlineLevel="0" collapsed="false">
      <c r="B65" s="45" t="s">
        <v>111</v>
      </c>
      <c r="D65" s="46" t="str">
        <f aca="false">INDEX(B61:B64,MATCH(MIN(D61:D64),D61:D64,0))</f>
        <v>Taklif berilgan</v>
      </c>
    </row>
    <row r="66" customFormat="false" ht="18" hidden="false" customHeight="true" outlineLevel="0" collapsed="false"/>
    <row r="67" customFormat="false" ht="18" hidden="false" customHeight="true" outlineLevel="0" collapsed="false"/>
    <row r="68" customFormat="false" ht="21.75" hidden="false" customHeight="true" outlineLevel="0" collapsed="false">
      <c r="B68" s="22" t="s">
        <v>112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</row>
    <row r="69" customFormat="false" ht="27.75" hidden="false" customHeight="true" outlineLevel="0" collapsed="false">
      <c r="B69" s="27" t="s">
        <v>113</v>
      </c>
      <c r="C69" s="27" t="s">
        <v>23</v>
      </c>
      <c r="D69" s="27"/>
      <c r="E69" s="27" t="s">
        <v>114</v>
      </c>
      <c r="F69" s="27" t="s">
        <v>93</v>
      </c>
      <c r="G69" s="27"/>
      <c r="H69" s="27"/>
      <c r="J69" s="27" t="s">
        <v>115</v>
      </c>
      <c r="K69" s="27"/>
      <c r="L69" s="27"/>
      <c r="M69" s="27"/>
      <c r="N69" s="27"/>
      <c r="O69" s="27"/>
    </row>
    <row r="70" customFormat="false" ht="18" hidden="false" customHeight="true" outlineLevel="0" collapsed="false">
      <c r="B70" s="28" t="s">
        <v>116</v>
      </c>
      <c r="C70" s="28" t="s">
        <v>42</v>
      </c>
      <c r="D70" s="28"/>
      <c r="E70" s="29" t="n">
        <v>46273</v>
      </c>
      <c r="F70" s="28" t="s">
        <v>98</v>
      </c>
      <c r="G70" s="28"/>
      <c r="H70" s="28"/>
      <c r="J70" s="23" t="s">
        <v>117</v>
      </c>
      <c r="K70" s="23"/>
      <c r="L70" s="23"/>
      <c r="M70" s="31" t="n">
        <f aca="false">COUNTA(B70:B75)</f>
        <v>3</v>
      </c>
      <c r="N70" s="31"/>
      <c r="O70" s="31"/>
    </row>
    <row r="71" customFormat="false" ht="18" hidden="false" customHeight="true" outlineLevel="0" collapsed="false">
      <c r="B71" s="28" t="s">
        <v>118</v>
      </c>
      <c r="C71" s="28" t="s">
        <v>52</v>
      </c>
      <c r="D71" s="28"/>
      <c r="E71" s="29" t="n">
        <v>46279</v>
      </c>
      <c r="F71" s="28" t="s">
        <v>119</v>
      </c>
      <c r="G71" s="28"/>
      <c r="H71" s="28"/>
      <c r="J71" s="23" t="s">
        <v>120</v>
      </c>
      <c r="K71" s="23"/>
      <c r="L71" s="23"/>
      <c r="M71" s="31" t="n">
        <f aca="false">COUNTA(B78:B80)</f>
        <v>1</v>
      </c>
      <c r="N71" s="31"/>
      <c r="O71" s="31"/>
    </row>
    <row r="72" customFormat="false" ht="18" hidden="false" customHeight="true" outlineLevel="0" collapsed="false">
      <c r="B72" s="28" t="s">
        <v>121</v>
      </c>
      <c r="C72" s="28" t="s">
        <v>67</v>
      </c>
      <c r="D72" s="28"/>
      <c r="E72" s="29" t="n">
        <v>46287</v>
      </c>
      <c r="F72" s="28" t="s">
        <v>122</v>
      </c>
      <c r="G72" s="28"/>
      <c r="H72" s="28"/>
      <c r="J72" s="23" t="s">
        <v>123</v>
      </c>
      <c r="K72" s="23"/>
      <c r="L72" s="23"/>
      <c r="M72" s="38" t="n">
        <f aca="false">IFERROR(M71/M70,0)</f>
        <v>0.333333333333333</v>
      </c>
      <c r="N72" s="38"/>
      <c r="O72" s="38"/>
    </row>
    <row r="73" customFormat="false" ht="18" hidden="false" customHeight="true" outlineLevel="0" collapsed="false">
      <c r="B73" s="28"/>
      <c r="C73" s="28"/>
      <c r="D73" s="28"/>
      <c r="E73" s="29"/>
      <c r="F73" s="28"/>
      <c r="G73" s="28"/>
      <c r="H73" s="28"/>
      <c r="J73" s="25" t="s">
        <v>124</v>
      </c>
      <c r="K73" s="25"/>
      <c r="L73" s="25"/>
      <c r="M73" s="25"/>
      <c r="N73" s="25"/>
      <c r="O73" s="25"/>
    </row>
    <row r="74" customFormat="false" ht="18" hidden="false" customHeight="true" outlineLevel="0" collapsed="false">
      <c r="B74" s="28"/>
      <c r="C74" s="28"/>
      <c r="D74" s="28"/>
      <c r="E74" s="29"/>
      <c r="F74" s="28"/>
      <c r="G74" s="28"/>
      <c r="H74" s="28"/>
      <c r="J74" s="25"/>
      <c r="K74" s="25"/>
      <c r="L74" s="25"/>
      <c r="M74" s="25"/>
      <c r="N74" s="25"/>
      <c r="O74" s="25"/>
    </row>
    <row r="75" customFormat="false" ht="18" hidden="false" customHeight="true" outlineLevel="0" collapsed="false">
      <c r="B75" s="28"/>
      <c r="C75" s="28"/>
      <c r="D75" s="28"/>
      <c r="E75" s="29"/>
      <c r="F75" s="28"/>
      <c r="G75" s="28"/>
      <c r="H75" s="28"/>
      <c r="J75" s="25"/>
      <c r="K75" s="25"/>
      <c r="L75" s="25"/>
      <c r="M75" s="25"/>
      <c r="N75" s="25"/>
      <c r="O75" s="25"/>
    </row>
    <row r="76" customFormat="false" ht="18" hidden="false" customHeight="true" outlineLevel="0" collapsed="false">
      <c r="J76" s="25"/>
      <c r="K76" s="25"/>
      <c r="L76" s="25"/>
      <c r="M76" s="25"/>
      <c r="N76" s="25"/>
      <c r="O76" s="25"/>
    </row>
    <row r="77" customFormat="false" ht="27.75" hidden="false" customHeight="true" outlineLevel="0" collapsed="false">
      <c r="B77" s="27" t="s">
        <v>125</v>
      </c>
      <c r="C77" s="27" t="s">
        <v>23</v>
      </c>
      <c r="D77" s="27"/>
      <c r="E77" s="27" t="s">
        <v>126</v>
      </c>
      <c r="F77" s="27" t="s">
        <v>127</v>
      </c>
      <c r="G77" s="27"/>
      <c r="H77" s="27"/>
    </row>
    <row r="78" customFormat="false" ht="18" hidden="false" customHeight="true" outlineLevel="0" collapsed="false">
      <c r="B78" s="28" t="s">
        <v>128</v>
      </c>
      <c r="C78" s="28" t="s">
        <v>48</v>
      </c>
      <c r="D78" s="28"/>
      <c r="E78" s="29" t="n">
        <v>46284</v>
      </c>
      <c r="F78" s="28" t="s">
        <v>129</v>
      </c>
      <c r="G78" s="28"/>
      <c r="H78" s="28"/>
    </row>
    <row r="79" customFormat="false" ht="18" hidden="false" customHeight="true" outlineLevel="0" collapsed="false">
      <c r="B79" s="28"/>
      <c r="C79" s="28"/>
      <c r="D79" s="28"/>
      <c r="E79" s="29"/>
      <c r="F79" s="28"/>
      <c r="G79" s="28"/>
      <c r="H79" s="28"/>
    </row>
    <row r="80" customFormat="false" ht="18" hidden="false" customHeight="true" outlineLevel="0" collapsed="false">
      <c r="B80" s="28"/>
      <c r="C80" s="28"/>
      <c r="D80" s="28"/>
      <c r="E80" s="29"/>
      <c r="F80" s="28"/>
      <c r="G80" s="28"/>
      <c r="H80" s="28"/>
    </row>
    <row r="81" customFormat="false" ht="18" hidden="false" customHeight="true" outlineLevel="0" collapsed="false"/>
    <row r="82" customFormat="false" ht="18" hidden="false" customHeight="true" outlineLevel="0" collapsed="false"/>
    <row r="83" customFormat="false" ht="21.75" hidden="false" customHeight="true" outlineLevel="0" collapsed="false">
      <c r="B83" s="22" t="s">
        <v>130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</row>
    <row r="84" customFormat="false" ht="18" hidden="false" customHeight="true" outlineLevel="0" collapsed="false">
      <c r="B84" s="27" t="s">
        <v>131</v>
      </c>
      <c r="C84" s="27" t="s">
        <v>132</v>
      </c>
      <c r="D84" s="27" t="s">
        <v>133</v>
      </c>
      <c r="E84" s="27" t="s">
        <v>134</v>
      </c>
      <c r="F84" s="27" t="s">
        <v>135</v>
      </c>
      <c r="G84" s="27" t="s">
        <v>75</v>
      </c>
      <c r="H84" s="27"/>
    </row>
    <row r="85" customFormat="false" ht="18" hidden="false" customHeight="true" outlineLevel="0" collapsed="false">
      <c r="B85" s="28" t="s">
        <v>136</v>
      </c>
      <c r="C85" s="41" t="n">
        <v>2000000</v>
      </c>
      <c r="D85" s="41" t="n">
        <v>1800000</v>
      </c>
      <c r="E85" s="47" t="n">
        <f aca="false">D85-C85</f>
        <v>-200000</v>
      </c>
      <c r="F85" s="48" t="n">
        <f aca="false">IFERROR(D85/C85,0)</f>
        <v>0.9</v>
      </c>
      <c r="G85" s="25"/>
      <c r="H85" s="25"/>
    </row>
    <row r="86" customFormat="false" ht="18" hidden="false" customHeight="true" outlineLevel="0" collapsed="false">
      <c r="B86" s="28" t="s">
        <v>137</v>
      </c>
      <c r="C86" s="41" t="n">
        <v>300000</v>
      </c>
      <c r="D86" s="41" t="n">
        <v>200000</v>
      </c>
      <c r="E86" s="47" t="n">
        <f aca="false">D86-C86</f>
        <v>-100000</v>
      </c>
      <c r="F86" s="48" t="n">
        <f aca="false">IFERROR(D86/C86,0)</f>
        <v>0.666666666666667</v>
      </c>
      <c r="G86" s="25"/>
      <c r="H86" s="25"/>
    </row>
    <row r="87" customFormat="false" ht="18" hidden="false" customHeight="true" outlineLevel="0" collapsed="false">
      <c r="B87" s="28" t="s">
        <v>138</v>
      </c>
      <c r="C87" s="41" t="n">
        <v>0</v>
      </c>
      <c r="D87" s="41" t="n">
        <v>0</v>
      </c>
      <c r="E87" s="47" t="n">
        <f aca="false">D87-C87</f>
        <v>0</v>
      </c>
      <c r="F87" s="48" t="n">
        <f aca="false">IFERROR(D87/C87,0)</f>
        <v>0</v>
      </c>
      <c r="G87" s="25"/>
      <c r="H87" s="25"/>
    </row>
    <row r="88" customFormat="false" ht="18" hidden="false" customHeight="true" outlineLevel="0" collapsed="false">
      <c r="B88" s="28" t="s">
        <v>139</v>
      </c>
      <c r="C88" s="41" t="n">
        <v>200000</v>
      </c>
      <c r="D88" s="41" t="n">
        <v>150000</v>
      </c>
      <c r="E88" s="47" t="n">
        <f aca="false">D88-C88</f>
        <v>-50000</v>
      </c>
      <c r="F88" s="48" t="n">
        <f aca="false">IFERROR(D88/C88,0)</f>
        <v>0.75</v>
      </c>
      <c r="G88" s="25"/>
      <c r="H88" s="25"/>
    </row>
    <row r="89" customFormat="false" ht="18" hidden="false" customHeight="true" outlineLevel="0" collapsed="false">
      <c r="B89" s="28" t="s">
        <v>140</v>
      </c>
      <c r="C89" s="41" t="n">
        <v>100000</v>
      </c>
      <c r="D89" s="41" t="n">
        <v>0</v>
      </c>
      <c r="E89" s="47" t="n">
        <f aca="false">D89-C89</f>
        <v>-100000</v>
      </c>
      <c r="F89" s="48" t="n">
        <f aca="false">IFERROR(D89/C89,0)</f>
        <v>0</v>
      </c>
      <c r="G89" s="25"/>
      <c r="H89" s="25"/>
    </row>
    <row r="90" customFormat="false" ht="18" hidden="false" customHeight="true" outlineLevel="0" collapsed="false">
      <c r="B90" s="42" t="s">
        <v>104</v>
      </c>
      <c r="C90" s="43" t="n">
        <f aca="false">SUM(C85:C89)</f>
        <v>2600000</v>
      </c>
      <c r="D90" s="43" t="n">
        <f aca="false">SUM(D85:D89)</f>
        <v>2150000</v>
      </c>
      <c r="E90" s="49" t="n">
        <f aca="false">D90-C90</f>
        <v>-450000</v>
      </c>
      <c r="F90" s="50" t="n">
        <f aca="false">IFERROR(D90/C90,0)</f>
        <v>0.826923076923077</v>
      </c>
      <c r="G90" s="51"/>
      <c r="H90" s="51"/>
    </row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21.75" hidden="false" customHeight="true" outlineLevel="0" collapsed="false">
      <c r="B94" s="22" t="s">
        <v>141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</row>
    <row r="95" customFormat="false" ht="18" hidden="false" customHeight="true" outlineLevel="0" collapsed="false">
      <c r="B95" s="27" t="s">
        <v>142</v>
      </c>
      <c r="C95" s="27" t="s">
        <v>143</v>
      </c>
      <c r="D95" s="27"/>
      <c r="E95" s="27"/>
      <c r="F95" s="27" t="s">
        <v>144</v>
      </c>
      <c r="G95" s="27"/>
      <c r="H95" s="27"/>
      <c r="I95" s="27" t="s">
        <v>145</v>
      </c>
      <c r="J95" s="27"/>
      <c r="K95" s="27"/>
      <c r="L95" s="27" t="s">
        <v>146</v>
      </c>
      <c r="M95" s="27"/>
      <c r="N95" s="27"/>
      <c r="O95" s="27"/>
    </row>
    <row r="96" customFormat="false" ht="30" hidden="false" customHeight="true" outlineLevel="0" collapsed="false">
      <c r="B96" s="25" t="s">
        <v>147</v>
      </c>
      <c r="C96" s="25" t="s">
        <v>148</v>
      </c>
      <c r="D96" s="25"/>
      <c r="E96" s="25"/>
      <c r="F96" s="25" t="s">
        <v>149</v>
      </c>
      <c r="G96" s="25"/>
      <c r="H96" s="25"/>
      <c r="I96" s="25" t="s">
        <v>150</v>
      </c>
      <c r="J96" s="25"/>
      <c r="K96" s="25"/>
      <c r="L96" s="26" t="s">
        <v>151</v>
      </c>
      <c r="M96" s="26"/>
      <c r="N96" s="26"/>
      <c r="O96" s="26"/>
    </row>
    <row r="97" customFormat="false" ht="30" hidden="false" customHeight="true" outlineLevel="0" collapsed="false">
      <c r="B97" s="25" t="s">
        <v>152</v>
      </c>
      <c r="C97" s="25" t="s">
        <v>153</v>
      </c>
      <c r="D97" s="25"/>
      <c r="E97" s="25"/>
      <c r="F97" s="25" t="s">
        <v>154</v>
      </c>
      <c r="G97" s="25"/>
      <c r="H97" s="25"/>
      <c r="I97" s="25" t="s">
        <v>155</v>
      </c>
      <c r="J97" s="25"/>
      <c r="K97" s="25"/>
      <c r="L97" s="26" t="s">
        <v>156</v>
      </c>
      <c r="M97" s="26"/>
      <c r="N97" s="26"/>
      <c r="O97" s="26"/>
    </row>
    <row r="98" customFormat="false" ht="30" hidden="false" customHeight="true" outlineLevel="0" collapsed="false">
      <c r="B98" s="25" t="s">
        <v>157</v>
      </c>
      <c r="C98" s="25" t="s">
        <v>158</v>
      </c>
      <c r="D98" s="25"/>
      <c r="E98" s="25"/>
      <c r="F98" s="25" t="s">
        <v>159</v>
      </c>
      <c r="G98" s="25"/>
      <c r="H98" s="25"/>
      <c r="I98" s="25" t="s">
        <v>160</v>
      </c>
      <c r="J98" s="25"/>
      <c r="K98" s="25"/>
      <c r="L98" s="26" t="s">
        <v>161</v>
      </c>
      <c r="M98" s="26"/>
      <c r="N98" s="26"/>
      <c r="O98" s="26"/>
    </row>
    <row r="99" customFormat="false" ht="30" hidden="false" customHeight="true" outlineLevel="0" collapsed="false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6"/>
      <c r="M99" s="26"/>
      <c r="N99" s="26"/>
      <c r="O99" s="26"/>
    </row>
    <row r="100" customFormat="false" ht="18" hidden="false" customHeight="true" outlineLevel="0" collapsed="false"/>
    <row r="101" customFormat="false" ht="21.75" hidden="false" customHeight="true" outlineLevel="0" collapsed="false">
      <c r="B101" s="22" t="s">
        <v>162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</row>
    <row r="102" customFormat="false" ht="18" hidden="false" customHeight="true" outlineLevel="0" collapsed="false">
      <c r="B102" s="27" t="s">
        <v>163</v>
      </c>
      <c r="C102" s="27" t="s">
        <v>164</v>
      </c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customFormat="false" ht="18" hidden="false" customHeight="true" outlineLevel="0" collapsed="false">
      <c r="B103" s="23" t="s">
        <v>165</v>
      </c>
      <c r="C103" s="25" t="s">
        <v>166</v>
      </c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customFormat="false" ht="18" hidden="false" customHeight="true" outlineLevel="0" collapsed="false">
      <c r="B104" s="23" t="s">
        <v>167</v>
      </c>
      <c r="C104" s="25" t="s">
        <v>168</v>
      </c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customFormat="false" ht="18" hidden="false" customHeight="true" outlineLevel="0" collapsed="false">
      <c r="B105" s="23" t="s">
        <v>169</v>
      </c>
      <c r="C105" s="25" t="s">
        <v>170</v>
      </c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customFormat="false" ht="18" hidden="false" customHeight="true" outlineLevel="0" collapsed="false"/>
    <row r="107" customFormat="false" ht="21.75" hidden="false" customHeight="true" outlineLevel="0" collapsed="false">
      <c r="B107" s="22" t="s">
        <v>171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</row>
    <row r="108" customFormat="false" ht="18" hidden="false" customHeight="true" outlineLevel="0" collapsed="false">
      <c r="B108" s="52" t="str">
        <f aca="false">"• Oy davomida "&amp;C34&amp;" ta vakansiya yopildi, "&amp;C33&amp;" ta yangi ochildi; oy oxirida "&amp;C35&amp;" ta ochiq qoldi."</f>
        <v>• Oy davomida 6 ta vakansiya yopildi, 5 ta yangi ochildi; oy oxirida 7 ta ochiq qoldi.</v>
      </c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</row>
    <row r="109" customFormat="false" ht="18" hidden="false" customHeight="true" outlineLevel="0" collapsed="false">
      <c r="B109" s="52" t="str">
        <f aca="false">"• Kelgan "&amp;C36&amp;" nomzoddan "&amp;C40&amp;" tasi ishga qabul qilindi ("&amp;TEXT(E64,"0.0%")&amp;"); taklifni qabul qilish foizi "&amp;TEXT(C43,"0%")&amp;"."</f>
        <v>• Kelgan 120 nomzoddan 6 tasi ishga qabul qilindi (5.0%); taklifni qabul qilish foizi 67%.</v>
      </c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</row>
    <row r="110" customFormat="false" ht="18" hidden="false" customHeight="true" outlineLevel="0" collapsed="false">
      <c r="B110" s="52" t="str">
        <f aca="false">"• Time-to-fill: "&amp;C41&amp;" kun (o'tgan oy: "&amp;D41&amp;"); jami xarajat "&amp;TEXT(D90,"#,##0")&amp;" so'm, bir qabulga "&amp;TEXT(C44,"#,##0")&amp;" so'm."</f>
        <v>• Time-to-fill: 28 kun (o'tgan oy: 32); jami xarajat 2,150,000 so'm, bir qabulga 358,333 so'm.</v>
      </c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</row>
    <row r="111" customFormat="false" ht="18" hidden="false" customHeight="true" outlineLevel="0" collapsed="false">
      <c r="B111" s="52" t="str">
        <f aca="false">"• Eng samarali manba: "&amp;E56&amp;"; voronkada eng ko'p yo'qotish: "&amp;D65&amp;" bosqichida."</f>
        <v>• Eng samarali manba: Tavsiya (referral); voronkada eng ko'p yo'qotish: Taklif berilgan bosqichida.</v>
      </c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</row>
    <row r="112" customFormat="false" ht="18" hidden="false" customHeight="true" outlineLevel="0" collapsed="false">
      <c r="B112" s="25" t="s">
        <v>172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</sheetData>
  <mergeCells count="144">
    <mergeCell ref="B2:O2"/>
    <mergeCell ref="B3:O3"/>
    <mergeCell ref="B4:O4"/>
    <mergeCell ref="C6:D6"/>
    <mergeCell ref="E6:F6"/>
    <mergeCell ref="G6:H6"/>
    <mergeCell ref="J6:L6"/>
    <mergeCell ref="M6:O6"/>
    <mergeCell ref="C7:D7"/>
    <mergeCell ref="E7:F7"/>
    <mergeCell ref="G7:H7"/>
    <mergeCell ref="J7:L7"/>
    <mergeCell ref="M7:O7"/>
    <mergeCell ref="C8:D8"/>
    <mergeCell ref="E8:F8"/>
    <mergeCell ref="G8:H8"/>
    <mergeCell ref="J8:L8"/>
    <mergeCell ref="M8:O8"/>
    <mergeCell ref="B10:O10"/>
    <mergeCell ref="C11:D11"/>
    <mergeCell ref="E11:O14"/>
    <mergeCell ref="C12:D12"/>
    <mergeCell ref="C13:D13"/>
    <mergeCell ref="C14:D14"/>
    <mergeCell ref="B16:O16"/>
    <mergeCell ref="I17:O17"/>
    <mergeCell ref="I18:O18"/>
    <mergeCell ref="I19:O19"/>
    <mergeCell ref="I20:O20"/>
    <mergeCell ref="I21:O21"/>
    <mergeCell ref="I22:O22"/>
    <mergeCell ref="I23:O23"/>
    <mergeCell ref="I24:O24"/>
    <mergeCell ref="I25:O25"/>
    <mergeCell ref="I26:O26"/>
    <mergeCell ref="I27:O27"/>
    <mergeCell ref="B30:O30"/>
    <mergeCell ref="F31:H31"/>
    <mergeCell ref="J31:L31"/>
    <mergeCell ref="M31:O31"/>
    <mergeCell ref="F32:H32"/>
    <mergeCell ref="J32:L32"/>
    <mergeCell ref="M32:O32"/>
    <mergeCell ref="F33:H33"/>
    <mergeCell ref="J33:L33"/>
    <mergeCell ref="M33:O33"/>
    <mergeCell ref="F34:H34"/>
    <mergeCell ref="J34:L34"/>
    <mergeCell ref="M34:O34"/>
    <mergeCell ref="F35:H35"/>
    <mergeCell ref="J35:L35"/>
    <mergeCell ref="M35:O35"/>
    <mergeCell ref="F36:H36"/>
    <mergeCell ref="J36:L36"/>
    <mergeCell ref="M36:O36"/>
    <mergeCell ref="F37:H37"/>
    <mergeCell ref="J37:L37"/>
    <mergeCell ref="M37:O37"/>
    <mergeCell ref="F38:H38"/>
    <mergeCell ref="F39:H39"/>
    <mergeCell ref="F40:H40"/>
    <mergeCell ref="F41:H41"/>
    <mergeCell ref="F42:H42"/>
    <mergeCell ref="F43:H43"/>
    <mergeCell ref="F44:H44"/>
    <mergeCell ref="B47:O47"/>
    <mergeCell ref="B58:O58"/>
    <mergeCell ref="F59:H59"/>
    <mergeCell ref="F60:H60"/>
    <mergeCell ref="F61:H61"/>
    <mergeCell ref="F62:H62"/>
    <mergeCell ref="F63:H63"/>
    <mergeCell ref="F64:H64"/>
    <mergeCell ref="B68:O68"/>
    <mergeCell ref="C69:D69"/>
    <mergeCell ref="F69:H69"/>
    <mergeCell ref="J69:O69"/>
    <mergeCell ref="C70:D70"/>
    <mergeCell ref="F70:H70"/>
    <mergeCell ref="J70:L70"/>
    <mergeCell ref="M70:O70"/>
    <mergeCell ref="C71:D71"/>
    <mergeCell ref="F71:H71"/>
    <mergeCell ref="J71:L71"/>
    <mergeCell ref="M71:O71"/>
    <mergeCell ref="C72:D72"/>
    <mergeCell ref="F72:H72"/>
    <mergeCell ref="J72:L72"/>
    <mergeCell ref="M72:O72"/>
    <mergeCell ref="C73:D73"/>
    <mergeCell ref="F73:H73"/>
    <mergeCell ref="J73:O76"/>
    <mergeCell ref="C74:D74"/>
    <mergeCell ref="F74:H74"/>
    <mergeCell ref="C75:D75"/>
    <mergeCell ref="F75:H75"/>
    <mergeCell ref="C77:D77"/>
    <mergeCell ref="F77:H77"/>
    <mergeCell ref="C78:D78"/>
    <mergeCell ref="F78:H78"/>
    <mergeCell ref="C79:D79"/>
    <mergeCell ref="F79:H79"/>
    <mergeCell ref="C80:D80"/>
    <mergeCell ref="F80:H80"/>
    <mergeCell ref="B83:O83"/>
    <mergeCell ref="G84:H84"/>
    <mergeCell ref="G85:H85"/>
    <mergeCell ref="G86:H86"/>
    <mergeCell ref="G87:H87"/>
    <mergeCell ref="G88:H88"/>
    <mergeCell ref="G89:H89"/>
    <mergeCell ref="G90:H90"/>
    <mergeCell ref="B94:O94"/>
    <mergeCell ref="C95:E95"/>
    <mergeCell ref="F95:H95"/>
    <mergeCell ref="I95:K95"/>
    <mergeCell ref="L95:O95"/>
    <mergeCell ref="C96:E96"/>
    <mergeCell ref="F96:H96"/>
    <mergeCell ref="I96:K96"/>
    <mergeCell ref="L96:O96"/>
    <mergeCell ref="C97:E97"/>
    <mergeCell ref="F97:H97"/>
    <mergeCell ref="I97:K97"/>
    <mergeCell ref="L97:O97"/>
    <mergeCell ref="C98:E98"/>
    <mergeCell ref="F98:H98"/>
    <mergeCell ref="I98:K98"/>
    <mergeCell ref="L98:O98"/>
    <mergeCell ref="C99:E99"/>
    <mergeCell ref="F99:H99"/>
    <mergeCell ref="I99:K99"/>
    <mergeCell ref="L99:O99"/>
    <mergeCell ref="B101:O101"/>
    <mergeCell ref="C102:O102"/>
    <mergeCell ref="C103:O103"/>
    <mergeCell ref="C104:O104"/>
    <mergeCell ref="C105:O105"/>
    <mergeCell ref="B107:O107"/>
    <mergeCell ref="B108:O108"/>
    <mergeCell ref="B109:O109"/>
    <mergeCell ref="B110:O110"/>
    <mergeCell ref="B111:O111"/>
    <mergeCell ref="B112:O112"/>
  </mergeCells>
  <conditionalFormatting sqref="F18:F27">
    <cfRule type="cellIs" priority="2" operator="equal" aboveAverage="0" equalAverage="0" bottom="0" percent="0" rank="0" text="" dxfId="0">
      <formula>"Yopilgan"</formula>
    </cfRule>
    <cfRule type="cellIs" priority="3" operator="equal" aboveAverage="0" equalAverage="0" bottom="0" percent="0" rank="0" text="" dxfId="1">
      <formula>"5 kunlik sinov"</formula>
    </cfRule>
  </conditionalFormatting>
  <conditionalFormatting sqref="G18:G27">
    <cfRule type="cellIs" priority="4" operator="greaterThan" aboveAverage="0" equalAverage="0" bottom="0" percent="0" rank="0" text="" dxfId="2">
      <formula>30</formula>
    </cfRule>
  </conditionalFormatting>
  <dataValidations count="2">
    <dataValidation allowBlank="true" errorStyle="stop" operator="between" showDropDown="false" showErrorMessage="false" showInputMessage="false" sqref="F18:F27" type="list">
      <formula1>"E'lon,Skrining,Suhbat,Taklif,5 kunlik sinov,Yopilgan"</formula1>
      <formula2>0</formula2>
    </dataValidation>
    <dataValidation allowBlank="true" errorStyle="stop" operator="between" showDropDown="false" showErrorMessage="false" showInputMessage="false" sqref="H18:H27" type="list">
      <formula1>"Yuqori,O'rta,Past"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2026-10-06T10:46:18Z</dcterms:created>
  <dc:creator>openpyxl</dc:creator>
  <dc:description/>
  <dc:language>en-US</dc:language>
  <cp:lastModifiedBy/>
  <dcterms:modified xsi:type="dcterms:W3CDTF">2026-10-06T10:46:20Z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